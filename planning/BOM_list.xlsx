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ar\Desktop\projectBlueprint\AMSTS\planning\"/>
    </mc:Choice>
  </mc:AlternateContent>
  <xr:revisionPtr revIDLastSave="0" documentId="13_ncr:1_{984AEA46-175C-4A38-8DFF-492F261E7B59}" xr6:coauthVersionLast="47" xr6:coauthVersionMax="47" xr10:uidLastSave="{00000000-0000-0000-0000-000000000000}"/>
  <bookViews>
    <workbookView xWindow="-110" yWindow="-110" windowWidth="19420" windowHeight="10420" tabRatio="361" activeTab="1" xr2:uid="{00000000-000D-0000-FFFF-FFFF00000000}"/>
  </bookViews>
  <sheets>
    <sheet name="BOM" sheetId="1" r:id="rId1"/>
    <sheet name="Co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5" i="2" l="1"/>
  <c r="I8" i="2"/>
  <c r="J4" i="1"/>
  <c r="J5" i="1"/>
  <c r="J6" i="1"/>
  <c r="J7" i="1"/>
  <c r="J8" i="1"/>
  <c r="J9" i="1"/>
  <c r="J10" i="1"/>
  <c r="J11" i="1"/>
  <c r="J12" i="1"/>
  <c r="J13" i="1"/>
  <c r="J14" i="1"/>
  <c r="J67" i="1" s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3" i="1"/>
  <c r="J2" i="1"/>
</calcChain>
</file>

<file path=xl/sharedStrings.xml><?xml version="1.0" encoding="utf-8"?>
<sst xmlns="http://schemas.openxmlformats.org/spreadsheetml/2006/main" count="443" uniqueCount="230">
  <si>
    <t>Item</t>
  </si>
  <si>
    <t>Part Number</t>
  </si>
  <si>
    <t>Thumbnail</t>
  </si>
  <si>
    <t>BOM Structure</t>
  </si>
  <si>
    <t>Unit QTY</t>
  </si>
  <si>
    <t>QTY</t>
  </si>
  <si>
    <t>Stock Number</t>
  </si>
  <si>
    <t>Description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</si>
  <si>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</si>
  <si>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</si>
  <si>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</si>
  <si>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</si>
  <si>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</si>
  <si>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</si>
  <si>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</si>
  <si>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</si>
  <si>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</si>
  <si>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</si>
  <si>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</si>
  <si>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</si>
  <si>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</si>
  <si>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</si>
  <si>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</si>
  <si>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</si>
  <si>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</si>
  <si>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</si>
  <si>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</si>
  <si>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</si>
  <si>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</si>
  <si>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</si>
  <si>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</si>
  <si>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</si>
  <si>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</si>
  <si>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</si>
  <si>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</si>
  <si>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</si>
  <si>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</si>
  <si>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</si>
  <si>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</si>
  <si>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</si>
  <si>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</si>
  <si>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</si>
  <si>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</si>
  <si>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</si>
  <si>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</si>
  <si>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</si>
  <si>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</si>
  <si>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</si>
  <si>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</si>
  <si>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</si>
  <si>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</si>
  <si>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</si>
  <si>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</si>
  <si>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</si>
  <si>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</si>
  <si>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</si>
  <si>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</si>
  <si>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</si>
  <si>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</si>
  <si>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</si>
  <si>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</si>
  <si>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</si>
  <si>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</si>
  <si>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</si>
  <si>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</si>
  <si>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</si>
  <si>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</si>
  <si>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</si>
  <si>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</si>
  <si>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</si>
  <si>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</si>
  <si>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</si>
  <si>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</si>
  <si>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4x2020_ax4</t>
  </si>
  <si>
    <t>4x2020_universal</t>
  </si>
  <si>
    <t>17HE19-2004S</t>
  </si>
  <si>
    <t>4x2020_universal_planetary</t>
  </si>
  <si>
    <t>EG17 shaft-2</t>
  </si>
  <si>
    <t>nema17input flange</t>
  </si>
  <si>
    <t>input shaft</t>
  </si>
  <si>
    <t>¦µ10circlip</t>
  </si>
  <si>
    <t>M3hexagon socket head cap screw</t>
  </si>
  <si>
    <t>6801</t>
  </si>
  <si>
    <t>4x2020_axis</t>
  </si>
  <si>
    <t>4x2020_blank</t>
  </si>
  <si>
    <t>AMT102-0512-I5000-5</t>
  </si>
  <si>
    <t>AS 1420 - 1973 - M3 x 16</t>
  </si>
  <si>
    <t>ISO 4032 - M2,5</t>
  </si>
  <si>
    <t>4x2020_axis_end_bearings</t>
  </si>
  <si>
    <t>628_bearing</t>
  </si>
  <si>
    <t>tnut_m5_2020</t>
  </si>
  <si>
    <t>ISO 4762  - M5 x 8</t>
  </si>
  <si>
    <t>2020_4x2020_hz</t>
  </si>
  <si>
    <t>2020_4x2020_ve</t>
  </si>
  <si>
    <t>Connect_u2020</t>
  </si>
  <si>
    <t>m4x70_example</t>
  </si>
  <si>
    <t>DIN 9021 - 4,3</t>
  </si>
  <si>
    <t>ANSI B18.2.4.2M - M4x0,7</t>
  </si>
  <si>
    <t>4ax_plate_joint</t>
  </si>
  <si>
    <t>DIN 920 - M5 x 10</t>
  </si>
  <si>
    <t>ax4_holder</t>
  </si>
  <si>
    <t>2020_ax_connector</t>
  </si>
  <si>
    <t>2020_140</t>
  </si>
  <si>
    <t>2020_700</t>
  </si>
  <si>
    <t>H-Connector_2020</t>
  </si>
  <si>
    <t>4x2020_subaxis</t>
  </si>
  <si>
    <t>DIN 9021 - 5,3</t>
  </si>
  <si>
    <t>ISO 4762  - M5 x 10</t>
  </si>
  <si>
    <t>ISO 4762  - M4 x 8</t>
  </si>
  <si>
    <t>ISO 4762  - M5 x 12</t>
  </si>
  <si>
    <t>8x7mm_spacer</t>
  </si>
  <si>
    <t>608</t>
  </si>
  <si>
    <t>base_axis_8mm_2020</t>
  </si>
  <si>
    <t>8x88_cylinder</t>
  </si>
  <si>
    <t>2020_1100</t>
  </si>
  <si>
    <t>2x2020_hor</t>
  </si>
  <si>
    <t>2020_108</t>
  </si>
  <si>
    <t>l-holder_2020</t>
  </si>
  <si>
    <t>l-holder_2020_spacer</t>
  </si>
  <si>
    <t>manual_locker</t>
  </si>
  <si>
    <t>manual_locker_upoper</t>
  </si>
  <si>
    <t>antenna_rad</t>
  </si>
  <si>
    <t>antenna_rad_outter</t>
  </si>
  <si>
    <t>ISO 4762  - M5 x 16</t>
  </si>
  <si>
    <t>bearing_stifts_antenna</t>
  </si>
  <si>
    <t>gps_holder</t>
  </si>
  <si>
    <t>gps_lid</t>
  </si>
  <si>
    <t>servo_holder</t>
  </si>
  <si>
    <t>ISO 4762  - M5 x 20</t>
  </si>
  <si>
    <t>sk7_2</t>
  </si>
  <si>
    <t>Part4</t>
  </si>
  <si>
    <t>counterweight-rod</t>
  </si>
  <si>
    <t>DIN 9021 - 6,4</t>
  </si>
  <si>
    <t>ISO 4762  - M6 x 10</t>
  </si>
  <si>
    <t>counterweight#</t>
  </si>
  <si>
    <t>antenna_polarization_rot_conn</t>
  </si>
  <si>
    <t>ISO 4762  - M2 x 16</t>
  </si>
  <si>
    <t>ISO 4762  - M2 x 12</t>
  </si>
  <si>
    <t>Normal</t>
  </si>
  <si>
    <t>Purchased</t>
  </si>
  <si>
    <t>Each</t>
  </si>
  <si>
    <t>233,729mm 2020</t>
  </si>
  <si>
    <t>NEMA 17 Stepper Motor Holder</t>
  </si>
  <si>
    <t>STEP AP214</t>
  </si>
  <si>
    <t>NEMA 17 Planetary Holder</t>
  </si>
  <si>
    <t>Part of NEMA 17 Planetary</t>
  </si>
  <si>
    <t>6801 bearing</t>
  </si>
  <si>
    <t>8mm 4x2020 Axis</t>
  </si>
  <si>
    <t>AMT222D-V Encoder 4x2020 Holder</t>
  </si>
  <si>
    <t>AMT222D-V Encoder</t>
  </si>
  <si>
    <t>ISO metric hexagon socket head cap screws</t>
  </si>
  <si>
    <t>Hex Nut</t>
  </si>
  <si>
    <t>Double 628 Bearings holder</t>
  </si>
  <si>
    <t>628 Bearing</t>
  </si>
  <si>
    <t>Hexagon Socket Head Cap Screw</t>
  </si>
  <si>
    <t xml:space="preserve">14.112mm 2020 Profile </t>
  </si>
  <si>
    <t>48.3mm 2020 Profile</t>
  </si>
  <si>
    <t>U-Connector 2020 Profile</t>
  </si>
  <si>
    <t>M4x70mm screw</t>
  </si>
  <si>
    <t>Washer</t>
  </si>
  <si>
    <t>Metric Hex Nuts Styles 2</t>
  </si>
  <si>
    <t>Az-El Deloder Plate</t>
  </si>
  <si>
    <t>Slotted Pan Head Screw</t>
  </si>
  <si>
    <t>4x2020 to 8mm Connctor</t>
  </si>
  <si>
    <t>2020 to 8mm Connector</t>
  </si>
  <si>
    <t>140mm 2020 Profile</t>
  </si>
  <si>
    <t>700mm 2020 Profile</t>
  </si>
  <si>
    <t>H-Connector 2020 Profiles</t>
  </si>
  <si>
    <t>4x2020 8mm Axis Shaft</t>
  </si>
  <si>
    <t>8x7mm 8mm Axis Spacer</t>
  </si>
  <si>
    <t>608 Bearing</t>
  </si>
  <si>
    <t>Base Axis Holder</t>
  </si>
  <si>
    <t>8x88mm Axis</t>
  </si>
  <si>
    <t xml:space="preserve">1000mm 2020 Profile </t>
  </si>
  <si>
    <t>68.112mm 2020 Profile</t>
  </si>
  <si>
    <t>108.112mm 2020 Profile</t>
  </si>
  <si>
    <t>2020 L-Connector</t>
  </si>
  <si>
    <t>2mm Plastic 2020 Spacer</t>
  </si>
  <si>
    <t>Manual Locker Lower Part</t>
  </si>
  <si>
    <t>Manual Locker Upper Part</t>
  </si>
  <si>
    <t>Antenna Holder Inner</t>
  </si>
  <si>
    <t>Antenna Holder Outter</t>
  </si>
  <si>
    <t xml:space="preserve">GPS Holder </t>
  </si>
  <si>
    <t>GPS Holder Lid</t>
  </si>
  <si>
    <t>DS-3240MG Servo Holder</t>
  </si>
  <si>
    <t>DS-3240MG Servo</t>
  </si>
  <si>
    <t>Counterweight Rod (8mm)</t>
  </si>
  <si>
    <t>Counterweight</t>
  </si>
  <si>
    <t>2020-to-Servo adapter</t>
  </si>
  <si>
    <t>Length per piece</t>
  </si>
  <si>
    <t>Total group</t>
  </si>
  <si>
    <t>2020 Length tot:</t>
  </si>
  <si>
    <t>Buy - Cut</t>
  </si>
  <si>
    <t>Let Produce - Drill - Bend</t>
  </si>
  <si>
    <t>Buy</t>
  </si>
  <si>
    <t>Buy - Weld - Drill - Thread</t>
  </si>
  <si>
    <t>Let Produce - Drill - Bend - Weld</t>
  </si>
  <si>
    <t>Let Produce</t>
  </si>
  <si>
    <t>3D Print</t>
  </si>
  <si>
    <t>Let Produce (Buy - Cut - Drill) - Drill - Weld</t>
  </si>
  <si>
    <t>Let Produce - Bend</t>
  </si>
  <si>
    <t>Buy - Cut - File</t>
  </si>
  <si>
    <t>Buy - File - Drill - Cut</t>
  </si>
  <si>
    <t>Buy - Produce</t>
  </si>
  <si>
    <t>id</t>
  </si>
  <si>
    <t>Name</t>
  </si>
  <si>
    <t>Price</t>
  </si>
  <si>
    <t>Seller</t>
  </si>
  <si>
    <t>Link</t>
  </si>
  <si>
    <t>4x2020_raw</t>
  </si>
  <si>
    <t>Priority</t>
  </si>
  <si>
    <t>manual_locker_raw</t>
  </si>
  <si>
    <t>manual_locker_upper_raw</t>
  </si>
  <si>
    <t>AMT222D-V</t>
  </si>
  <si>
    <t>AMT-06C-1-036</t>
  </si>
  <si>
    <t>Adafruit 6109 (A4988)</t>
  </si>
  <si>
    <t>Arduino MEGA 2560 A000067</t>
  </si>
  <si>
    <t>Mouser Electronics GmbH</t>
  </si>
  <si>
    <t>eu.mouser.com</t>
  </si>
  <si>
    <t>Subsum for Seller:</t>
  </si>
  <si>
    <t>Blexon AG</t>
  </si>
  <si>
    <t>blexon.com</t>
  </si>
  <si>
    <t>x</t>
  </si>
  <si>
    <t>8000mm 2020 Profile</t>
  </si>
  <si>
    <t>eBay</t>
  </si>
  <si>
    <t>NEMA 17 1:50 PG</t>
  </si>
  <si>
    <t>NEMA 17 Stepper Motors</t>
  </si>
  <si>
    <t>https://www.omc-stepperonline.com/</t>
  </si>
  <si>
    <t>StepperMotors</t>
  </si>
  <si>
    <t>Sum: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</si>
</sst>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 x14ac:knownFonts="1">
    <font>
      <sz val="11"/>
      <name val="Calibri"/>
    </font>
    <font>
      <sz val="11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NumberFormat="1" applyFont="1" applyBorder="1" applyAlignment="1" applyProtection="1"/>
    <xf numFmtId="0" fontId="0" fillId="0" borderId="0" xfId="0" applyNumberFormat="1"/>
    <xf numFmtId="0" fontId="1" fillId="0" borderId="0" xfId="0" applyFont="1"/>
    <xf numFmtId="0" fontId="1" fillId="0" borderId="1" xfId="0" applyNumberFormat="1" applyFont="1" applyFill="1" applyBorder="1" applyAlignment="1" applyProtection="1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164" fontId="0" fillId="0" borderId="0" xfId="0" applyNumberFormat="1"/>
    <xf numFmtId="164" fontId="1" fillId="0" borderId="0" xfId="0" applyNumberFormat="1" applyFont="1"/>
    <xf numFmtId="0" fontId="2" fillId="0" borderId="0" xfId="1"/>
    <xf numFmtId="0" fontId="1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9" Type="http://schemas.openxmlformats.org/officeDocument/2006/relationships/image" Target="../media/image39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42" Type="http://schemas.openxmlformats.org/officeDocument/2006/relationships/image" Target="../media/image42.jpg"/><Relationship Id="rId47" Type="http://schemas.openxmlformats.org/officeDocument/2006/relationships/image" Target="../media/image47.jpg"/><Relationship Id="rId50" Type="http://schemas.openxmlformats.org/officeDocument/2006/relationships/image" Target="../media/image50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9" Type="http://schemas.openxmlformats.org/officeDocument/2006/relationships/image" Target="../media/image29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53" Type="http://schemas.openxmlformats.org/officeDocument/2006/relationships/image" Target="../media/image53.jpg"/><Relationship Id="rId5" Type="http://schemas.openxmlformats.org/officeDocument/2006/relationships/image" Target="../media/image5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52" Type="http://schemas.openxmlformats.org/officeDocument/2006/relationships/image" Target="../media/image52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43" Type="http://schemas.openxmlformats.org/officeDocument/2006/relationships/image" Target="../media/image43.jpg"/><Relationship Id="rId48" Type="http://schemas.openxmlformats.org/officeDocument/2006/relationships/image" Target="../media/image48.jpg"/><Relationship Id="rId8" Type="http://schemas.openxmlformats.org/officeDocument/2006/relationships/image" Target="../media/image8.jpg"/><Relationship Id="rId51" Type="http://schemas.openxmlformats.org/officeDocument/2006/relationships/image" Target="../media/image51.jp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46" Type="http://schemas.openxmlformats.org/officeDocument/2006/relationships/image" Target="../media/image46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54" Type="http://schemas.openxmlformats.org/officeDocument/2006/relationships/image" Target="../media/image54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49" Type="http://schemas.openxmlformats.org/officeDocument/2006/relationships/image" Target="../media/image4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</xdr:row>
      <xdr:rowOff>9525</xdr:rowOff>
    </xdr:from>
    <xdr:to>
      <xdr:col>2</xdr:col>
      <xdr:colOff>1724025</xdr:colOff>
      <xdr:row>1</xdr:row>
      <xdr:rowOff>1724025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</xdr:row>
      <xdr:rowOff>9525</xdr:rowOff>
    </xdr:from>
    <xdr:to>
      <xdr:col>2</xdr:col>
      <xdr:colOff>1724025</xdr:colOff>
      <xdr:row>2</xdr:row>
      <xdr:rowOff>1724025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</xdr:row>
      <xdr:rowOff>9525</xdr:rowOff>
    </xdr:from>
    <xdr:to>
      <xdr:col>2</xdr:col>
      <xdr:colOff>1724025</xdr:colOff>
      <xdr:row>3</xdr:row>
      <xdr:rowOff>1724025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</xdr:row>
      <xdr:rowOff>9525</xdr:rowOff>
    </xdr:from>
    <xdr:to>
      <xdr:col>2</xdr:col>
      <xdr:colOff>1724025</xdr:colOff>
      <xdr:row>4</xdr:row>
      <xdr:rowOff>1724025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</xdr:row>
      <xdr:rowOff>9525</xdr:rowOff>
    </xdr:from>
    <xdr:to>
      <xdr:col>2</xdr:col>
      <xdr:colOff>1724025</xdr:colOff>
      <xdr:row>5</xdr:row>
      <xdr:rowOff>1724025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</xdr:row>
      <xdr:rowOff>9525</xdr:rowOff>
    </xdr:from>
    <xdr:to>
      <xdr:col>2</xdr:col>
      <xdr:colOff>1724025</xdr:colOff>
      <xdr:row>6</xdr:row>
      <xdr:rowOff>1724025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</xdr:row>
      <xdr:rowOff>9525</xdr:rowOff>
    </xdr:from>
    <xdr:to>
      <xdr:col>2</xdr:col>
      <xdr:colOff>1724025</xdr:colOff>
      <xdr:row>7</xdr:row>
      <xdr:rowOff>1724025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</xdr:row>
      <xdr:rowOff>9525</xdr:rowOff>
    </xdr:from>
    <xdr:to>
      <xdr:col>2</xdr:col>
      <xdr:colOff>1724025</xdr:colOff>
      <xdr:row>8</xdr:row>
      <xdr:rowOff>1724025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</xdr:row>
      <xdr:rowOff>9525</xdr:rowOff>
    </xdr:from>
    <xdr:to>
      <xdr:col>2</xdr:col>
      <xdr:colOff>1724025</xdr:colOff>
      <xdr:row>9</xdr:row>
      <xdr:rowOff>1724025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</xdr:row>
      <xdr:rowOff>9525</xdr:rowOff>
    </xdr:from>
    <xdr:to>
      <xdr:col>2</xdr:col>
      <xdr:colOff>1724025</xdr:colOff>
      <xdr:row>10</xdr:row>
      <xdr:rowOff>1724025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11</xdr:row>
      <xdr:rowOff>9525</xdr:rowOff>
    </xdr:from>
    <xdr:to>
      <xdr:col>2</xdr:col>
      <xdr:colOff>1724025</xdr:colOff>
      <xdr:row>11</xdr:row>
      <xdr:rowOff>1724025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12</xdr:row>
      <xdr:rowOff>9525</xdr:rowOff>
    </xdr:from>
    <xdr:to>
      <xdr:col>2</xdr:col>
      <xdr:colOff>1724025</xdr:colOff>
      <xdr:row>12</xdr:row>
      <xdr:rowOff>1724025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13</xdr:row>
      <xdr:rowOff>9525</xdr:rowOff>
    </xdr:from>
    <xdr:to>
      <xdr:col>2</xdr:col>
      <xdr:colOff>1724025</xdr:colOff>
      <xdr:row>13</xdr:row>
      <xdr:rowOff>1724025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14</xdr:row>
      <xdr:rowOff>9525</xdr:rowOff>
    </xdr:from>
    <xdr:to>
      <xdr:col>2</xdr:col>
      <xdr:colOff>1724025</xdr:colOff>
      <xdr:row>14</xdr:row>
      <xdr:rowOff>1724025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15</xdr:row>
      <xdr:rowOff>9525</xdr:rowOff>
    </xdr:from>
    <xdr:to>
      <xdr:col>2</xdr:col>
      <xdr:colOff>1724025</xdr:colOff>
      <xdr:row>15</xdr:row>
      <xdr:rowOff>1724025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16</xdr:row>
      <xdr:rowOff>9525</xdr:rowOff>
    </xdr:from>
    <xdr:to>
      <xdr:col>2</xdr:col>
      <xdr:colOff>1724025</xdr:colOff>
      <xdr:row>16</xdr:row>
      <xdr:rowOff>1724025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17</xdr:row>
      <xdr:rowOff>9525</xdr:rowOff>
    </xdr:from>
    <xdr:to>
      <xdr:col>2</xdr:col>
      <xdr:colOff>1724025</xdr:colOff>
      <xdr:row>17</xdr:row>
      <xdr:rowOff>1724025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18</xdr:row>
      <xdr:rowOff>9525</xdr:rowOff>
    </xdr:from>
    <xdr:to>
      <xdr:col>2</xdr:col>
      <xdr:colOff>1724025</xdr:colOff>
      <xdr:row>18</xdr:row>
      <xdr:rowOff>1724025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19</xdr:row>
      <xdr:rowOff>9525</xdr:rowOff>
    </xdr:from>
    <xdr:to>
      <xdr:col>2</xdr:col>
      <xdr:colOff>1724025</xdr:colOff>
      <xdr:row>19</xdr:row>
      <xdr:rowOff>1724025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20</xdr:row>
      <xdr:rowOff>9525</xdr:rowOff>
    </xdr:from>
    <xdr:to>
      <xdr:col>2</xdr:col>
      <xdr:colOff>1724025</xdr:colOff>
      <xdr:row>20</xdr:row>
      <xdr:rowOff>1724025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21</xdr:row>
      <xdr:rowOff>9525</xdr:rowOff>
    </xdr:from>
    <xdr:to>
      <xdr:col>2</xdr:col>
      <xdr:colOff>1724025</xdr:colOff>
      <xdr:row>21</xdr:row>
      <xdr:rowOff>1724025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22</xdr:row>
      <xdr:rowOff>9525</xdr:rowOff>
    </xdr:from>
    <xdr:to>
      <xdr:col>2</xdr:col>
      <xdr:colOff>1724025</xdr:colOff>
      <xdr:row>22</xdr:row>
      <xdr:rowOff>1724025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23</xdr:row>
      <xdr:rowOff>9525</xdr:rowOff>
    </xdr:from>
    <xdr:to>
      <xdr:col>2</xdr:col>
      <xdr:colOff>1724025</xdr:colOff>
      <xdr:row>23</xdr:row>
      <xdr:rowOff>1724025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24</xdr:row>
      <xdr:rowOff>9525</xdr:rowOff>
    </xdr:from>
    <xdr:to>
      <xdr:col>2</xdr:col>
      <xdr:colOff>1724025</xdr:colOff>
      <xdr:row>24</xdr:row>
      <xdr:rowOff>1724025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25</xdr:row>
      <xdr:rowOff>9525</xdr:rowOff>
    </xdr:from>
    <xdr:to>
      <xdr:col>2</xdr:col>
      <xdr:colOff>1724025</xdr:colOff>
      <xdr:row>25</xdr:row>
      <xdr:rowOff>1724025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26</xdr:row>
      <xdr:rowOff>9525</xdr:rowOff>
    </xdr:from>
    <xdr:to>
      <xdr:col>2</xdr:col>
      <xdr:colOff>1724025</xdr:colOff>
      <xdr:row>26</xdr:row>
      <xdr:rowOff>1724025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27</xdr:row>
      <xdr:rowOff>9525</xdr:rowOff>
    </xdr:from>
    <xdr:to>
      <xdr:col>2</xdr:col>
      <xdr:colOff>1724025</xdr:colOff>
      <xdr:row>27</xdr:row>
      <xdr:rowOff>1724025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28</xdr:row>
      <xdr:rowOff>9525</xdr:rowOff>
    </xdr:from>
    <xdr:to>
      <xdr:col>2</xdr:col>
      <xdr:colOff>1724025</xdr:colOff>
      <xdr:row>28</xdr:row>
      <xdr:rowOff>1724025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29</xdr:row>
      <xdr:rowOff>9525</xdr:rowOff>
    </xdr:from>
    <xdr:to>
      <xdr:col>2</xdr:col>
      <xdr:colOff>1724025</xdr:colOff>
      <xdr:row>29</xdr:row>
      <xdr:rowOff>1724025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30</xdr:row>
      <xdr:rowOff>9525</xdr:rowOff>
    </xdr:from>
    <xdr:to>
      <xdr:col>2</xdr:col>
      <xdr:colOff>1724025</xdr:colOff>
      <xdr:row>30</xdr:row>
      <xdr:rowOff>1724025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31</xdr:row>
      <xdr:rowOff>9525</xdr:rowOff>
    </xdr:from>
    <xdr:to>
      <xdr:col>2</xdr:col>
      <xdr:colOff>1724025</xdr:colOff>
      <xdr:row>31</xdr:row>
      <xdr:rowOff>1724025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32</xdr:row>
      <xdr:rowOff>9525</xdr:rowOff>
    </xdr:from>
    <xdr:to>
      <xdr:col>2</xdr:col>
      <xdr:colOff>1724025</xdr:colOff>
      <xdr:row>32</xdr:row>
      <xdr:rowOff>1724025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33</xdr:row>
      <xdr:rowOff>9525</xdr:rowOff>
    </xdr:from>
    <xdr:to>
      <xdr:col>2</xdr:col>
      <xdr:colOff>1724025</xdr:colOff>
      <xdr:row>33</xdr:row>
      <xdr:rowOff>1724025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34</xdr:row>
      <xdr:rowOff>9525</xdr:rowOff>
    </xdr:from>
    <xdr:to>
      <xdr:col>2</xdr:col>
      <xdr:colOff>1724025</xdr:colOff>
      <xdr:row>34</xdr:row>
      <xdr:rowOff>1724025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35</xdr:row>
      <xdr:rowOff>9525</xdr:rowOff>
    </xdr:from>
    <xdr:to>
      <xdr:col>2</xdr:col>
      <xdr:colOff>1724025</xdr:colOff>
      <xdr:row>35</xdr:row>
      <xdr:rowOff>1724025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36</xdr:row>
      <xdr:rowOff>9525</xdr:rowOff>
    </xdr:from>
    <xdr:to>
      <xdr:col>2</xdr:col>
      <xdr:colOff>1724025</xdr:colOff>
      <xdr:row>36</xdr:row>
      <xdr:rowOff>1724025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37</xdr:row>
      <xdr:rowOff>9525</xdr:rowOff>
    </xdr:from>
    <xdr:to>
      <xdr:col>2</xdr:col>
      <xdr:colOff>1724025</xdr:colOff>
      <xdr:row>37</xdr:row>
      <xdr:rowOff>1724025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2</xdr:col>
      <xdr:colOff>1724025</xdr:colOff>
      <xdr:row>38</xdr:row>
      <xdr:rowOff>1724025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2</xdr:col>
      <xdr:colOff>1724025</xdr:colOff>
      <xdr:row>39</xdr:row>
      <xdr:rowOff>1724025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2</xdr:col>
      <xdr:colOff>1724025</xdr:colOff>
      <xdr:row>40</xdr:row>
      <xdr:rowOff>1724025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2</xdr:col>
      <xdr:colOff>1724025</xdr:colOff>
      <xdr:row>41</xdr:row>
      <xdr:rowOff>1724025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2</xdr:col>
      <xdr:colOff>1724025</xdr:colOff>
      <xdr:row>42</xdr:row>
      <xdr:rowOff>1724025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2</xdr:col>
      <xdr:colOff>1724025</xdr:colOff>
      <xdr:row>43</xdr:row>
      <xdr:rowOff>1724025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2</xdr:col>
      <xdr:colOff>1724025</xdr:colOff>
      <xdr:row>44</xdr:row>
      <xdr:rowOff>1724025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45</xdr:row>
      <xdr:rowOff>9525</xdr:rowOff>
    </xdr:from>
    <xdr:to>
      <xdr:col>2</xdr:col>
      <xdr:colOff>1724025</xdr:colOff>
      <xdr:row>45</xdr:row>
      <xdr:rowOff>1724025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46</xdr:row>
      <xdr:rowOff>9525</xdr:rowOff>
    </xdr:from>
    <xdr:to>
      <xdr:col>2</xdr:col>
      <xdr:colOff>1724025</xdr:colOff>
      <xdr:row>46</xdr:row>
      <xdr:rowOff>1724025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47</xdr:row>
      <xdr:rowOff>9525</xdr:rowOff>
    </xdr:from>
    <xdr:to>
      <xdr:col>2</xdr:col>
      <xdr:colOff>1724025</xdr:colOff>
      <xdr:row>47</xdr:row>
      <xdr:rowOff>1724025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48</xdr:row>
      <xdr:rowOff>9525</xdr:rowOff>
    </xdr:from>
    <xdr:to>
      <xdr:col>2</xdr:col>
      <xdr:colOff>1724025</xdr:colOff>
      <xdr:row>48</xdr:row>
      <xdr:rowOff>1724025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49</xdr:row>
      <xdr:rowOff>9525</xdr:rowOff>
    </xdr:from>
    <xdr:to>
      <xdr:col>2</xdr:col>
      <xdr:colOff>1724025</xdr:colOff>
      <xdr:row>49</xdr:row>
      <xdr:rowOff>1724025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50</xdr:row>
      <xdr:rowOff>9525</xdr:rowOff>
    </xdr:from>
    <xdr:to>
      <xdr:col>2</xdr:col>
      <xdr:colOff>1724025</xdr:colOff>
      <xdr:row>50</xdr:row>
      <xdr:rowOff>1724025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51</xdr:row>
      <xdr:rowOff>9525</xdr:rowOff>
    </xdr:from>
    <xdr:to>
      <xdr:col>2</xdr:col>
      <xdr:colOff>1724025</xdr:colOff>
      <xdr:row>51</xdr:row>
      <xdr:rowOff>1724025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52</xdr:row>
      <xdr:rowOff>9525</xdr:rowOff>
    </xdr:from>
    <xdr:to>
      <xdr:col>2</xdr:col>
      <xdr:colOff>1724025</xdr:colOff>
      <xdr:row>52</xdr:row>
      <xdr:rowOff>1724025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53</xdr:row>
      <xdr:rowOff>9525</xdr:rowOff>
    </xdr:from>
    <xdr:to>
      <xdr:col>2</xdr:col>
      <xdr:colOff>1724025</xdr:colOff>
      <xdr:row>53</xdr:row>
      <xdr:rowOff>1724025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54</xdr:row>
      <xdr:rowOff>9525</xdr:rowOff>
    </xdr:from>
    <xdr:to>
      <xdr:col>2</xdr:col>
      <xdr:colOff>1724025</xdr:colOff>
      <xdr:row>54</xdr:row>
      <xdr:rowOff>1724025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55</xdr:row>
      <xdr:rowOff>9525</xdr:rowOff>
    </xdr:from>
    <xdr:to>
      <xdr:col>2</xdr:col>
      <xdr:colOff>1724025</xdr:colOff>
      <xdr:row>55</xdr:row>
      <xdr:rowOff>1724025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56</xdr:row>
      <xdr:rowOff>9525</xdr:rowOff>
    </xdr:from>
    <xdr:to>
      <xdr:col>2</xdr:col>
      <xdr:colOff>1724025</xdr:colOff>
      <xdr:row>56</xdr:row>
      <xdr:rowOff>1724025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57</xdr:row>
      <xdr:rowOff>9525</xdr:rowOff>
    </xdr:from>
    <xdr:to>
      <xdr:col>2</xdr:col>
      <xdr:colOff>1724025</xdr:colOff>
      <xdr:row>57</xdr:row>
      <xdr:rowOff>1724025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58</xdr:row>
      <xdr:rowOff>9525</xdr:rowOff>
    </xdr:from>
    <xdr:to>
      <xdr:col>2</xdr:col>
      <xdr:colOff>1724025</xdr:colOff>
      <xdr:row>58</xdr:row>
      <xdr:rowOff>1724025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59</xdr:row>
      <xdr:rowOff>9525</xdr:rowOff>
    </xdr:from>
    <xdr:to>
      <xdr:col>2</xdr:col>
      <xdr:colOff>1724025</xdr:colOff>
      <xdr:row>59</xdr:row>
      <xdr:rowOff>1724025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60</xdr:row>
      <xdr:rowOff>9525</xdr:rowOff>
    </xdr:from>
    <xdr:to>
      <xdr:col>2</xdr:col>
      <xdr:colOff>1724025</xdr:colOff>
      <xdr:row>60</xdr:row>
      <xdr:rowOff>1724025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61</xdr:row>
      <xdr:rowOff>9525</xdr:rowOff>
    </xdr:from>
    <xdr:to>
      <xdr:col>2</xdr:col>
      <xdr:colOff>1724025</xdr:colOff>
      <xdr:row>61</xdr:row>
      <xdr:rowOff>1724025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62</xdr:row>
      <xdr:rowOff>9525</xdr:rowOff>
    </xdr:from>
    <xdr:to>
      <xdr:col>2</xdr:col>
      <xdr:colOff>1724025</xdr:colOff>
      <xdr:row>62</xdr:row>
      <xdr:rowOff>1724025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63</xdr:row>
      <xdr:rowOff>9525</xdr:rowOff>
    </xdr:from>
    <xdr:to>
      <xdr:col>2</xdr:col>
      <xdr:colOff>1724025</xdr:colOff>
      <xdr:row>63</xdr:row>
      <xdr:rowOff>1724025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64</xdr:row>
      <xdr:rowOff>9525</xdr:rowOff>
    </xdr:from>
    <xdr:to>
      <xdr:col>2</xdr:col>
      <xdr:colOff>1724025</xdr:colOff>
      <xdr:row>64</xdr:row>
      <xdr:rowOff>1724025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65</xdr:row>
      <xdr:rowOff>9525</xdr:rowOff>
    </xdr:from>
    <xdr:to>
      <xdr:col>2</xdr:col>
      <xdr:colOff>1724025</xdr:colOff>
      <xdr:row>65</xdr:row>
      <xdr:rowOff>1724025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bay.de/itm/276703280300?chn=ps&amp;_ul=DE&amp;_trkparms=ispr%3D1&amp;amdata=enc%3A1_zY9bl6iSO6E4TwTy9IKaw15&amp;norover=1&amp;mkevt=1&amp;mkrid=707-168914-907737-8&amp;mkcid=2&amp;itemid=276703280300&amp;targetid=325425753764&amp;device=c&amp;mktype=pla&amp;googleloc=1000943&amp;poi=&amp;campaignid=20354691798&amp;mkgroupid=151907125395&amp;rlsatarget=pla-325425753764&amp;abcId=&amp;merchantid=114961235&amp;gad_source=1&amp;gad_campaignid=20354691798&amp;gbraid=0AAAAAo9ZJxvL01bTiF4mHEvfHLbn_45fW&amp;gclid=Cj0KCQiAvOjKBhC9ARIsAFvz5liRJ5d2BD-IAhKnQ_qxPpq_SKRBNAfRX2HKEaGomJMYVQJmVTe8EqsaAk2oEALw_wcB" TargetMode="External"/><Relationship Id="rId1" Type="http://schemas.openxmlformats.org/officeDocument/2006/relationships/hyperlink" Target="https://www.ebay.de/itm/393996614124?chn=ps&amp;_ul=DE&amp;mkevt=1&amp;mkcid=28&amp;google_free_listing_action=view_it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"/>
  <sheetViews>
    <sheetView topLeftCell="C63" zoomScale="85" zoomScaleNormal="85" workbookViewId="0">
      <selection activeCell="D20" sqref="D20:E20"/>
    </sheetView>
  </sheetViews>
  <sheetFormatPr defaultRowHeight="14.5" x14ac:dyDescent="0.35"/>
  <cols>
    <col min="2" max="2" width="37.54296875" customWidth="1"/>
    <col min="3" max="3" width="13.36328125" customWidth="1"/>
    <col min="4" max="4" width="17.36328125" customWidth="1"/>
    <col min="7" max="7" width="15.7265625" customWidth="1"/>
    <col min="8" max="8" width="44.54296875" customWidth="1"/>
    <col min="9" max="9" width="14.6328125" customWidth="1"/>
    <col min="10" max="10" width="12.81640625" customWidth="1"/>
    <col min="11" max="11" width="42.26953125" style="5" customWidth="1"/>
    <col min="12" max="12" width="13.453125" customWidth="1"/>
    <col min="13" max="13" width="12.72656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189</v>
      </c>
      <c r="J1" s="4" t="s">
        <v>190</v>
      </c>
    </row>
    <row r="2" spans="1:11" ht="45.5" customHeight="1" x14ac:dyDescent="0.35">
      <c r="A2" s="1" t="s">
        <v>8</v>
      </c>
      <c r="B2" s="1" t="s">
        <v>73</v>
      </c>
      <c r="D2" s="1" t="s">
        <v>138</v>
      </c>
      <c r="E2" s="1" t="s">
        <v>140</v>
      </c>
      <c r="F2" s="1">
        <v>8</v>
      </c>
      <c r="H2" s="1" t="s">
        <v>141</v>
      </c>
      <c r="I2">
        <v>233.72900000000001</v>
      </c>
      <c r="J2">
        <f>I2*F2</f>
        <v>1869.8320000000001</v>
      </c>
      <c r="K2" s="6" t="s">
        <v>192</v>
      </c>
    </row>
    <row r="3" spans="1:11" ht="45.5" customHeight="1" x14ac:dyDescent="0.35">
      <c r="A3" s="1" t="s">
        <v>9</v>
      </c>
      <c r="B3" s="1" t="s">
        <v>74</v>
      </c>
      <c r="D3" s="1" t="s">
        <v>138</v>
      </c>
      <c r="E3" s="1" t="s">
        <v>140</v>
      </c>
      <c r="F3" s="1">
        <v>2</v>
      </c>
      <c r="H3" s="1" t="s">
        <v>142</v>
      </c>
      <c r="J3">
        <f>I3*F3</f>
        <v>0</v>
      </c>
      <c r="K3" s="6" t="s">
        <v>193</v>
      </c>
    </row>
    <row r="4" spans="1:11" ht="45.5" customHeight="1" x14ac:dyDescent="0.35">
      <c r="A4" s="1" t="s">
        <v>10</v>
      </c>
      <c r="B4" s="1" t="s">
        <v>75</v>
      </c>
      <c r="D4" s="1" t="s">
        <v>138</v>
      </c>
      <c r="E4" s="1" t="s">
        <v>140</v>
      </c>
      <c r="F4" s="1">
        <v>2</v>
      </c>
      <c r="H4" s="1" t="s">
        <v>143</v>
      </c>
      <c r="I4" s="1"/>
      <c r="J4">
        <f t="shared" ref="J4:J66" si="0">I4*F4</f>
        <v>0</v>
      </c>
      <c r="K4" s="6" t="s">
        <v>194</v>
      </c>
    </row>
    <row r="5" spans="1:11" ht="45.5" customHeight="1" x14ac:dyDescent="0.35">
      <c r="A5" s="1" t="s">
        <v>11</v>
      </c>
      <c r="B5" s="1" t="s">
        <v>76</v>
      </c>
      <c r="D5" s="1" t="s">
        <v>138</v>
      </c>
      <c r="E5" s="1" t="s">
        <v>140</v>
      </c>
      <c r="F5" s="1">
        <v>2</v>
      </c>
      <c r="H5" s="1" t="s">
        <v>144</v>
      </c>
      <c r="J5">
        <f t="shared" si="0"/>
        <v>0</v>
      </c>
      <c r="K5" s="6" t="s">
        <v>193</v>
      </c>
    </row>
    <row r="6" spans="1:11" ht="45.5" customHeight="1" x14ac:dyDescent="0.35">
      <c r="A6" s="1" t="s">
        <v>12</v>
      </c>
      <c r="B6" s="1" t="s">
        <v>77</v>
      </c>
      <c r="D6" s="1" t="s">
        <v>138</v>
      </c>
      <c r="E6" s="1" t="s">
        <v>140</v>
      </c>
      <c r="F6" s="1">
        <v>2</v>
      </c>
      <c r="H6" s="1" t="s">
        <v>145</v>
      </c>
      <c r="I6" s="1"/>
      <c r="J6">
        <f t="shared" si="0"/>
        <v>0</v>
      </c>
      <c r="K6" s="6" t="s">
        <v>194</v>
      </c>
    </row>
    <row r="7" spans="1:11" ht="45.5" customHeight="1" x14ac:dyDescent="0.35">
      <c r="A7" s="1" t="s">
        <v>13</v>
      </c>
      <c r="B7" s="1" t="s">
        <v>78</v>
      </c>
      <c r="D7" s="1" t="s">
        <v>138</v>
      </c>
      <c r="E7" s="1" t="s">
        <v>140</v>
      </c>
      <c r="F7" s="1">
        <v>2</v>
      </c>
      <c r="H7" s="1" t="s">
        <v>145</v>
      </c>
      <c r="I7" s="1"/>
      <c r="J7">
        <f t="shared" si="0"/>
        <v>0</v>
      </c>
      <c r="K7" s="6" t="s">
        <v>194</v>
      </c>
    </row>
    <row r="8" spans="1:11" ht="45.5" customHeight="1" x14ac:dyDescent="0.35">
      <c r="A8" s="1" t="s">
        <v>14</v>
      </c>
      <c r="B8" s="1" t="s">
        <v>79</v>
      </c>
      <c r="D8" s="1" t="s">
        <v>138</v>
      </c>
      <c r="E8" s="1" t="s">
        <v>140</v>
      </c>
      <c r="F8" s="1">
        <v>2</v>
      </c>
      <c r="H8" s="1" t="s">
        <v>145</v>
      </c>
      <c r="I8" s="1"/>
      <c r="J8">
        <f t="shared" si="0"/>
        <v>0</v>
      </c>
      <c r="K8" s="6" t="s">
        <v>194</v>
      </c>
    </row>
    <row r="9" spans="1:11" ht="45.5" customHeight="1" x14ac:dyDescent="0.35">
      <c r="A9" s="1" t="s">
        <v>15</v>
      </c>
      <c r="B9" s="1" t="s">
        <v>80</v>
      </c>
      <c r="D9" s="1" t="s">
        <v>138</v>
      </c>
      <c r="E9" s="1" t="s">
        <v>140</v>
      </c>
      <c r="F9" s="1">
        <v>2</v>
      </c>
      <c r="H9" s="1" t="s">
        <v>145</v>
      </c>
      <c r="I9" s="1"/>
      <c r="J9">
        <f t="shared" si="0"/>
        <v>0</v>
      </c>
      <c r="K9" s="6" t="s">
        <v>194</v>
      </c>
    </row>
    <row r="10" spans="1:11" ht="45.5" customHeight="1" x14ac:dyDescent="0.35">
      <c r="A10" s="1" t="s">
        <v>16</v>
      </c>
      <c r="B10" s="1" t="s">
        <v>81</v>
      </c>
      <c r="D10" s="1" t="s">
        <v>138</v>
      </c>
      <c r="E10" s="1" t="s">
        <v>140</v>
      </c>
      <c r="F10" s="1">
        <v>16</v>
      </c>
      <c r="H10" s="1" t="s">
        <v>145</v>
      </c>
      <c r="I10" s="1"/>
      <c r="J10">
        <f t="shared" si="0"/>
        <v>0</v>
      </c>
      <c r="K10" s="6" t="s">
        <v>194</v>
      </c>
    </row>
    <row r="11" spans="1:11" ht="45.5" customHeight="1" x14ac:dyDescent="0.35">
      <c r="A11" s="1" t="s">
        <v>17</v>
      </c>
      <c r="B11" s="1" t="s">
        <v>82</v>
      </c>
      <c r="D11" s="1" t="s">
        <v>138</v>
      </c>
      <c r="E11" s="1" t="s">
        <v>140</v>
      </c>
      <c r="F11" s="1">
        <v>2</v>
      </c>
      <c r="H11" s="1" t="s">
        <v>146</v>
      </c>
      <c r="I11" s="1"/>
      <c r="J11">
        <f t="shared" si="0"/>
        <v>0</v>
      </c>
      <c r="K11" s="6" t="s">
        <v>194</v>
      </c>
    </row>
    <row r="12" spans="1:11" ht="45.5" customHeight="1" x14ac:dyDescent="0.35">
      <c r="A12" s="1" t="s">
        <v>18</v>
      </c>
      <c r="B12" s="1" t="s">
        <v>83</v>
      </c>
      <c r="D12" s="1" t="s">
        <v>138</v>
      </c>
      <c r="E12" s="1" t="s">
        <v>140</v>
      </c>
      <c r="F12" s="1">
        <v>2</v>
      </c>
      <c r="H12" s="1" t="s">
        <v>147</v>
      </c>
      <c r="J12">
        <f t="shared" si="0"/>
        <v>0</v>
      </c>
      <c r="K12" s="6" t="s">
        <v>195</v>
      </c>
    </row>
    <row r="13" spans="1:11" ht="45.5" customHeight="1" x14ac:dyDescent="0.35">
      <c r="A13" s="1" t="s">
        <v>19</v>
      </c>
      <c r="B13" s="1" t="s">
        <v>84</v>
      </c>
      <c r="D13" s="1" t="s">
        <v>138</v>
      </c>
      <c r="E13" s="1" t="s">
        <v>140</v>
      </c>
      <c r="F13" s="1">
        <v>2</v>
      </c>
      <c r="H13" s="1" t="s">
        <v>148</v>
      </c>
      <c r="J13">
        <f t="shared" si="0"/>
        <v>0</v>
      </c>
      <c r="K13" s="6" t="s">
        <v>193</v>
      </c>
    </row>
    <row r="14" spans="1:11" ht="45.5" customHeight="1" x14ac:dyDescent="0.35">
      <c r="A14" s="1" t="s">
        <v>20</v>
      </c>
      <c r="B14" s="1" t="s">
        <v>85</v>
      </c>
      <c r="D14" s="1" t="s">
        <v>138</v>
      </c>
      <c r="E14" s="1" t="s">
        <v>140</v>
      </c>
      <c r="F14" s="1">
        <v>1</v>
      </c>
      <c r="H14" s="1" t="s">
        <v>149</v>
      </c>
      <c r="J14">
        <f t="shared" si="0"/>
        <v>0</v>
      </c>
      <c r="K14" s="6" t="s">
        <v>194</v>
      </c>
    </row>
    <row r="15" spans="1:11" ht="45.5" customHeight="1" x14ac:dyDescent="0.35">
      <c r="A15" s="1" t="s">
        <v>21</v>
      </c>
      <c r="B15" s="1" t="s">
        <v>86</v>
      </c>
      <c r="D15" s="1" t="s">
        <v>139</v>
      </c>
      <c r="E15" s="1" t="s">
        <v>140</v>
      </c>
      <c r="F15" s="1">
        <v>4</v>
      </c>
      <c r="H15" s="1" t="s">
        <v>150</v>
      </c>
      <c r="J15">
        <f t="shared" si="0"/>
        <v>0</v>
      </c>
      <c r="K15" s="6" t="s">
        <v>194</v>
      </c>
    </row>
    <row r="16" spans="1:11" ht="45.5" customHeight="1" x14ac:dyDescent="0.35">
      <c r="A16" s="1" t="s">
        <v>22</v>
      </c>
      <c r="B16" s="1" t="s">
        <v>87</v>
      </c>
      <c r="D16" s="1" t="s">
        <v>139</v>
      </c>
      <c r="E16" s="1" t="s">
        <v>140</v>
      </c>
      <c r="F16" s="1">
        <v>4</v>
      </c>
      <c r="H16" s="1" t="s">
        <v>151</v>
      </c>
      <c r="J16">
        <f t="shared" si="0"/>
        <v>0</v>
      </c>
      <c r="K16" s="6" t="s">
        <v>194</v>
      </c>
    </row>
    <row r="17" spans="1:11" ht="45.5" customHeight="1" x14ac:dyDescent="0.35">
      <c r="A17" s="1" t="s">
        <v>23</v>
      </c>
      <c r="B17" s="1" t="s">
        <v>88</v>
      </c>
      <c r="D17" s="1" t="s">
        <v>138</v>
      </c>
      <c r="E17" s="1" t="s">
        <v>140</v>
      </c>
      <c r="F17" s="1">
        <v>2</v>
      </c>
      <c r="H17" s="1" t="s">
        <v>152</v>
      </c>
      <c r="J17">
        <f t="shared" si="0"/>
        <v>0</v>
      </c>
      <c r="K17" s="6" t="s">
        <v>196</v>
      </c>
    </row>
    <row r="18" spans="1:11" ht="45.5" customHeight="1" x14ac:dyDescent="0.35">
      <c r="A18" s="1" t="s">
        <v>24</v>
      </c>
      <c r="B18" s="1" t="s">
        <v>89</v>
      </c>
      <c r="D18" s="1" t="s">
        <v>138</v>
      </c>
      <c r="E18" s="1" t="s">
        <v>140</v>
      </c>
      <c r="F18" s="1">
        <v>4</v>
      </c>
      <c r="H18" s="1" t="s">
        <v>153</v>
      </c>
      <c r="J18">
        <f t="shared" si="0"/>
        <v>0</v>
      </c>
      <c r="K18" s="6" t="s">
        <v>194</v>
      </c>
    </row>
    <row r="19" spans="1:11" ht="45.5" customHeight="1" x14ac:dyDescent="0.35">
      <c r="A19" s="1" t="s">
        <v>25</v>
      </c>
      <c r="B19" s="1" t="s">
        <v>90</v>
      </c>
      <c r="D19" s="1" t="s">
        <v>138</v>
      </c>
      <c r="E19" s="1" t="s">
        <v>140</v>
      </c>
      <c r="F19" s="1">
        <v>161</v>
      </c>
      <c r="H19" s="1" t="s">
        <v>143</v>
      </c>
      <c r="J19">
        <f t="shared" si="0"/>
        <v>0</v>
      </c>
      <c r="K19" s="6" t="s">
        <v>194</v>
      </c>
    </row>
    <row r="20" spans="1:11" ht="45.5" customHeight="1" x14ac:dyDescent="0.35">
      <c r="A20" s="1" t="s">
        <v>26</v>
      </c>
      <c r="B20" s="1" t="s">
        <v>91</v>
      </c>
      <c r="D20" s="1" t="s">
        <v>139</v>
      </c>
      <c r="E20" s="1" t="s">
        <v>140</v>
      </c>
      <c r="F20" s="1">
        <v>122</v>
      </c>
      <c r="H20" s="1" t="s">
        <v>154</v>
      </c>
      <c r="J20">
        <f t="shared" si="0"/>
        <v>0</v>
      </c>
      <c r="K20" s="6" t="s">
        <v>194</v>
      </c>
    </row>
    <row r="21" spans="1:11" ht="45.5" customHeight="1" x14ac:dyDescent="0.35">
      <c r="A21" s="1" t="s">
        <v>27</v>
      </c>
      <c r="B21" s="1" t="s">
        <v>92</v>
      </c>
      <c r="D21" s="1" t="s">
        <v>138</v>
      </c>
      <c r="E21" s="1" t="s">
        <v>140</v>
      </c>
      <c r="F21" s="1">
        <v>8</v>
      </c>
      <c r="H21" s="1" t="s">
        <v>155</v>
      </c>
      <c r="I21">
        <v>14.112</v>
      </c>
      <c r="J21">
        <f t="shared" si="0"/>
        <v>112.896</v>
      </c>
      <c r="K21" s="6" t="s">
        <v>192</v>
      </c>
    </row>
    <row r="22" spans="1:11" ht="45.5" customHeight="1" x14ac:dyDescent="0.35">
      <c r="A22" s="1" t="s">
        <v>28</v>
      </c>
      <c r="B22" s="1" t="s">
        <v>93</v>
      </c>
      <c r="D22" s="1" t="s">
        <v>138</v>
      </c>
      <c r="E22" s="1" t="s">
        <v>140</v>
      </c>
      <c r="F22" s="1">
        <v>10</v>
      </c>
      <c r="H22" s="1" t="s">
        <v>156</v>
      </c>
      <c r="I22">
        <v>48.3</v>
      </c>
      <c r="J22">
        <f t="shared" si="0"/>
        <v>483</v>
      </c>
      <c r="K22" s="6" t="s">
        <v>192</v>
      </c>
    </row>
    <row r="23" spans="1:11" ht="45.5" customHeight="1" x14ac:dyDescent="0.35">
      <c r="A23" s="1" t="s">
        <v>29</v>
      </c>
      <c r="B23" s="1" t="s">
        <v>94</v>
      </c>
      <c r="D23" s="1" t="s">
        <v>138</v>
      </c>
      <c r="E23" s="1" t="s">
        <v>140</v>
      </c>
      <c r="F23" s="1">
        <v>10</v>
      </c>
      <c r="H23" s="1" t="s">
        <v>157</v>
      </c>
      <c r="J23">
        <f t="shared" si="0"/>
        <v>0</v>
      </c>
      <c r="K23" s="6" t="s">
        <v>197</v>
      </c>
    </row>
    <row r="24" spans="1:11" ht="45.5" customHeight="1" x14ac:dyDescent="0.35">
      <c r="A24" s="1" t="s">
        <v>30</v>
      </c>
      <c r="B24" s="1" t="s">
        <v>95</v>
      </c>
      <c r="D24" s="1" t="s">
        <v>138</v>
      </c>
      <c r="E24" s="1" t="s">
        <v>140</v>
      </c>
      <c r="F24" s="1">
        <v>8</v>
      </c>
      <c r="H24" s="1" t="s">
        <v>158</v>
      </c>
      <c r="J24">
        <f t="shared" si="0"/>
        <v>0</v>
      </c>
      <c r="K24" s="6" t="s">
        <v>195</v>
      </c>
    </row>
    <row r="25" spans="1:11" ht="45.5" customHeight="1" x14ac:dyDescent="0.35">
      <c r="A25" s="1" t="s">
        <v>31</v>
      </c>
      <c r="B25" s="1" t="s">
        <v>96</v>
      </c>
      <c r="D25" s="1" t="s">
        <v>139</v>
      </c>
      <c r="E25" s="1" t="s">
        <v>140</v>
      </c>
      <c r="F25" s="1">
        <v>16</v>
      </c>
      <c r="H25" s="1" t="s">
        <v>159</v>
      </c>
      <c r="J25">
        <f t="shared" si="0"/>
        <v>0</v>
      </c>
      <c r="K25" s="6" t="s">
        <v>194</v>
      </c>
    </row>
    <row r="26" spans="1:11" ht="45.5" customHeight="1" x14ac:dyDescent="0.35">
      <c r="A26" s="1" t="s">
        <v>32</v>
      </c>
      <c r="B26" s="1" t="s">
        <v>97</v>
      </c>
      <c r="D26" s="1" t="s">
        <v>139</v>
      </c>
      <c r="E26" s="1" t="s">
        <v>140</v>
      </c>
      <c r="F26" s="1">
        <v>8</v>
      </c>
      <c r="H26" s="1" t="s">
        <v>160</v>
      </c>
      <c r="J26">
        <f t="shared" si="0"/>
        <v>0</v>
      </c>
      <c r="K26" s="6" t="s">
        <v>194</v>
      </c>
    </row>
    <row r="27" spans="1:11" ht="45.5" customHeight="1" x14ac:dyDescent="0.35">
      <c r="A27" s="1" t="s">
        <v>33</v>
      </c>
      <c r="B27" s="1" t="s">
        <v>98</v>
      </c>
      <c r="D27" s="1" t="s">
        <v>138</v>
      </c>
      <c r="E27" s="1" t="s">
        <v>140</v>
      </c>
      <c r="F27" s="1">
        <v>1</v>
      </c>
      <c r="H27" s="1" t="s">
        <v>161</v>
      </c>
      <c r="J27">
        <f t="shared" si="0"/>
        <v>0</v>
      </c>
      <c r="K27" s="6" t="s">
        <v>198</v>
      </c>
    </row>
    <row r="28" spans="1:11" ht="45.5" customHeight="1" x14ac:dyDescent="0.35">
      <c r="A28" s="1" t="s">
        <v>34</v>
      </c>
      <c r="B28" s="1" t="s">
        <v>99</v>
      </c>
      <c r="D28" s="1" t="s">
        <v>139</v>
      </c>
      <c r="E28" s="1" t="s">
        <v>140</v>
      </c>
      <c r="F28" s="1">
        <v>6</v>
      </c>
      <c r="H28" s="1" t="s">
        <v>162</v>
      </c>
      <c r="J28">
        <f t="shared" si="0"/>
        <v>0</v>
      </c>
      <c r="K28" s="6" t="s">
        <v>194</v>
      </c>
    </row>
    <row r="29" spans="1:11" ht="45.5" customHeight="1" x14ac:dyDescent="0.35">
      <c r="A29" s="1" t="s">
        <v>35</v>
      </c>
      <c r="B29" s="1" t="s">
        <v>100</v>
      </c>
      <c r="D29" s="1" t="s">
        <v>138</v>
      </c>
      <c r="E29" s="1" t="s">
        <v>140</v>
      </c>
      <c r="F29" s="1">
        <v>1</v>
      </c>
      <c r="H29" s="1" t="s">
        <v>163</v>
      </c>
      <c r="J29">
        <f t="shared" si="0"/>
        <v>0</v>
      </c>
      <c r="K29" s="6" t="s">
        <v>199</v>
      </c>
    </row>
    <row r="30" spans="1:11" ht="45.5" customHeight="1" x14ac:dyDescent="0.35">
      <c r="A30" s="1" t="s">
        <v>36</v>
      </c>
      <c r="B30" s="1" t="s">
        <v>101</v>
      </c>
      <c r="D30" s="1" t="s">
        <v>138</v>
      </c>
      <c r="E30" s="1" t="s">
        <v>140</v>
      </c>
      <c r="F30" s="1">
        <v>1</v>
      </c>
      <c r="H30" s="1" t="s">
        <v>164</v>
      </c>
      <c r="J30">
        <f t="shared" si="0"/>
        <v>0</v>
      </c>
      <c r="K30" s="6" t="s">
        <v>199</v>
      </c>
    </row>
    <row r="31" spans="1:11" ht="45.5" customHeight="1" x14ac:dyDescent="0.35">
      <c r="A31" s="1" t="s">
        <v>37</v>
      </c>
      <c r="B31" s="1" t="s">
        <v>102</v>
      </c>
      <c r="D31" s="1" t="s">
        <v>138</v>
      </c>
      <c r="E31" s="1" t="s">
        <v>140</v>
      </c>
      <c r="F31" s="1">
        <v>1</v>
      </c>
      <c r="H31" s="1" t="s">
        <v>165</v>
      </c>
      <c r="I31">
        <v>140</v>
      </c>
      <c r="J31">
        <f t="shared" si="0"/>
        <v>140</v>
      </c>
      <c r="K31" s="6" t="s">
        <v>192</v>
      </c>
    </row>
    <row r="32" spans="1:11" ht="45.5" customHeight="1" x14ac:dyDescent="0.35">
      <c r="A32" s="1" t="s">
        <v>38</v>
      </c>
      <c r="B32" s="1" t="s">
        <v>103</v>
      </c>
      <c r="D32" s="1" t="s">
        <v>138</v>
      </c>
      <c r="E32" s="1" t="s">
        <v>140</v>
      </c>
      <c r="F32" s="1">
        <v>4</v>
      </c>
      <c r="H32" s="1" t="s">
        <v>166</v>
      </c>
      <c r="I32">
        <v>700</v>
      </c>
      <c r="J32">
        <f t="shared" si="0"/>
        <v>2800</v>
      </c>
      <c r="K32" s="6" t="s">
        <v>192</v>
      </c>
    </row>
    <row r="33" spans="1:11" ht="45.5" customHeight="1" x14ac:dyDescent="0.35">
      <c r="A33" s="1" t="s">
        <v>39</v>
      </c>
      <c r="B33" s="1" t="s">
        <v>104</v>
      </c>
      <c r="D33" s="1" t="s">
        <v>138</v>
      </c>
      <c r="E33" s="1" t="s">
        <v>140</v>
      </c>
      <c r="F33" s="1">
        <v>2</v>
      </c>
      <c r="H33" s="1" t="s">
        <v>167</v>
      </c>
      <c r="J33">
        <f t="shared" si="0"/>
        <v>0</v>
      </c>
      <c r="K33" s="6" t="s">
        <v>197</v>
      </c>
    </row>
    <row r="34" spans="1:11" ht="45.5" customHeight="1" x14ac:dyDescent="0.35">
      <c r="A34" s="1" t="s">
        <v>40</v>
      </c>
      <c r="B34" s="1" t="s">
        <v>105</v>
      </c>
      <c r="D34" s="1" t="s">
        <v>138</v>
      </c>
      <c r="E34" s="1" t="s">
        <v>140</v>
      </c>
      <c r="F34" s="1">
        <v>1</v>
      </c>
      <c r="H34" s="1" t="s">
        <v>168</v>
      </c>
      <c r="J34">
        <f t="shared" si="0"/>
        <v>0</v>
      </c>
      <c r="K34" s="6" t="s">
        <v>198</v>
      </c>
    </row>
    <row r="35" spans="1:11" ht="45.5" customHeight="1" x14ac:dyDescent="0.35">
      <c r="A35" s="1" t="s">
        <v>41</v>
      </c>
      <c r="B35" s="1" t="s">
        <v>106</v>
      </c>
      <c r="D35" s="1" t="s">
        <v>139</v>
      </c>
      <c r="E35" s="1" t="s">
        <v>140</v>
      </c>
      <c r="F35" s="1">
        <v>14</v>
      </c>
      <c r="H35" s="1" t="s">
        <v>159</v>
      </c>
      <c r="J35">
        <f t="shared" si="0"/>
        <v>0</v>
      </c>
      <c r="K35" s="6" t="s">
        <v>194</v>
      </c>
    </row>
    <row r="36" spans="1:11" ht="45.5" customHeight="1" x14ac:dyDescent="0.35">
      <c r="A36" s="1" t="s">
        <v>42</v>
      </c>
      <c r="B36" s="1" t="s">
        <v>107</v>
      </c>
      <c r="D36" s="1" t="s">
        <v>139</v>
      </c>
      <c r="E36" s="1" t="s">
        <v>140</v>
      </c>
      <c r="F36" s="1">
        <v>16</v>
      </c>
      <c r="H36" s="1" t="s">
        <v>154</v>
      </c>
      <c r="J36">
        <f t="shared" si="0"/>
        <v>0</v>
      </c>
      <c r="K36" s="6" t="s">
        <v>194</v>
      </c>
    </row>
    <row r="37" spans="1:11" ht="45.5" customHeight="1" x14ac:dyDescent="0.35">
      <c r="A37" s="1" t="s">
        <v>43</v>
      </c>
      <c r="B37" s="1" t="s">
        <v>108</v>
      </c>
      <c r="D37" s="1" t="s">
        <v>139</v>
      </c>
      <c r="E37" s="1" t="s">
        <v>140</v>
      </c>
      <c r="F37" s="1">
        <v>1</v>
      </c>
      <c r="H37" s="1" t="s">
        <v>154</v>
      </c>
      <c r="J37">
        <f t="shared" si="0"/>
        <v>0</v>
      </c>
      <c r="K37" s="6" t="s">
        <v>194</v>
      </c>
    </row>
    <row r="38" spans="1:11" ht="45.5" customHeight="1" x14ac:dyDescent="0.35">
      <c r="A38" s="1" t="s">
        <v>44</v>
      </c>
      <c r="B38" s="1" t="s">
        <v>109</v>
      </c>
      <c r="D38" s="1" t="s">
        <v>139</v>
      </c>
      <c r="E38" s="1" t="s">
        <v>140</v>
      </c>
      <c r="F38" s="1">
        <v>8</v>
      </c>
      <c r="H38" s="1" t="s">
        <v>154</v>
      </c>
      <c r="J38">
        <f t="shared" si="0"/>
        <v>0</v>
      </c>
      <c r="K38" s="6" t="s">
        <v>194</v>
      </c>
    </row>
    <row r="39" spans="1:11" ht="45.5" customHeight="1" x14ac:dyDescent="0.35">
      <c r="A39" s="1" t="s">
        <v>45</v>
      </c>
      <c r="B39" s="1" t="s">
        <v>110</v>
      </c>
      <c r="D39" s="1" t="s">
        <v>138</v>
      </c>
      <c r="E39" s="1" t="s">
        <v>140</v>
      </c>
      <c r="F39" s="1">
        <v>2</v>
      </c>
      <c r="H39" s="1" t="s">
        <v>169</v>
      </c>
      <c r="J39">
        <f t="shared" si="0"/>
        <v>0</v>
      </c>
      <c r="K39" s="6" t="s">
        <v>198</v>
      </c>
    </row>
    <row r="40" spans="1:11" ht="45.5" customHeight="1" x14ac:dyDescent="0.35">
      <c r="A40" s="1" t="s">
        <v>46</v>
      </c>
      <c r="B40" s="1" t="s">
        <v>111</v>
      </c>
      <c r="D40" s="1" t="s">
        <v>138</v>
      </c>
      <c r="E40" s="1" t="s">
        <v>140</v>
      </c>
      <c r="F40" s="1">
        <v>2</v>
      </c>
      <c r="H40" s="1" t="s">
        <v>170</v>
      </c>
      <c r="J40">
        <f t="shared" si="0"/>
        <v>0</v>
      </c>
      <c r="K40" s="6" t="s">
        <v>194</v>
      </c>
    </row>
    <row r="41" spans="1:11" ht="45.5" customHeight="1" x14ac:dyDescent="0.35">
      <c r="A41" s="1" t="s">
        <v>47</v>
      </c>
      <c r="B41" s="1" t="s">
        <v>112</v>
      </c>
      <c r="D41" s="1" t="s">
        <v>138</v>
      </c>
      <c r="E41" s="1" t="s">
        <v>140</v>
      </c>
      <c r="F41" s="1">
        <v>2</v>
      </c>
      <c r="H41" s="1" t="s">
        <v>171</v>
      </c>
      <c r="J41">
        <f t="shared" si="0"/>
        <v>0</v>
      </c>
      <c r="K41" s="6" t="s">
        <v>198</v>
      </c>
    </row>
    <row r="42" spans="1:11" ht="45.5" customHeight="1" x14ac:dyDescent="0.35">
      <c r="A42" s="1" t="s">
        <v>48</v>
      </c>
      <c r="B42" s="1" t="s">
        <v>113</v>
      </c>
      <c r="D42" s="1" t="s">
        <v>138</v>
      </c>
      <c r="E42" s="1" t="s">
        <v>140</v>
      </c>
      <c r="F42" s="1">
        <v>1</v>
      </c>
      <c r="H42" s="1" t="s">
        <v>172</v>
      </c>
      <c r="J42">
        <f t="shared" si="0"/>
        <v>0</v>
      </c>
      <c r="K42" s="6" t="s">
        <v>192</v>
      </c>
    </row>
    <row r="43" spans="1:11" ht="45.5" customHeight="1" x14ac:dyDescent="0.35">
      <c r="A43" s="1" t="s">
        <v>49</v>
      </c>
      <c r="B43" s="1" t="s">
        <v>114</v>
      </c>
      <c r="D43" s="1" t="s">
        <v>138</v>
      </c>
      <c r="E43" s="1" t="s">
        <v>140</v>
      </c>
      <c r="F43" s="1">
        <v>2</v>
      </c>
      <c r="H43" s="1" t="s">
        <v>173</v>
      </c>
      <c r="I43">
        <v>1000</v>
      </c>
      <c r="J43">
        <f t="shared" si="0"/>
        <v>2000</v>
      </c>
      <c r="K43" s="6" t="s">
        <v>194</v>
      </c>
    </row>
    <row r="44" spans="1:11" ht="45.5" customHeight="1" x14ac:dyDescent="0.35">
      <c r="A44" s="1" t="s">
        <v>50</v>
      </c>
      <c r="B44" s="1" t="s">
        <v>115</v>
      </c>
      <c r="D44" s="1" t="s">
        <v>138</v>
      </c>
      <c r="E44" s="1" t="s">
        <v>140</v>
      </c>
      <c r="F44" s="1">
        <v>2</v>
      </c>
      <c r="H44" s="1" t="s">
        <v>174</v>
      </c>
      <c r="I44" s="2">
        <v>68.111999999999995</v>
      </c>
      <c r="J44">
        <f t="shared" si="0"/>
        <v>136.22399999999999</v>
      </c>
      <c r="K44" s="6" t="s">
        <v>192</v>
      </c>
    </row>
    <row r="45" spans="1:11" ht="45.5" customHeight="1" x14ac:dyDescent="0.35">
      <c r="A45" s="1" t="s">
        <v>51</v>
      </c>
      <c r="B45" s="1" t="s">
        <v>116</v>
      </c>
      <c r="D45" s="1" t="s">
        <v>138</v>
      </c>
      <c r="E45" s="1" t="s">
        <v>140</v>
      </c>
      <c r="F45" s="1">
        <v>1</v>
      </c>
      <c r="H45" s="1" t="s">
        <v>175</v>
      </c>
      <c r="I45">
        <v>108.11199999999999</v>
      </c>
      <c r="J45">
        <f t="shared" si="0"/>
        <v>108.11199999999999</v>
      </c>
      <c r="K45" s="6" t="s">
        <v>192</v>
      </c>
    </row>
    <row r="46" spans="1:11" ht="45.5" customHeight="1" x14ac:dyDescent="0.35">
      <c r="A46" s="1" t="s">
        <v>52</v>
      </c>
      <c r="B46" s="1" t="s">
        <v>117</v>
      </c>
      <c r="D46" s="1" t="s">
        <v>138</v>
      </c>
      <c r="E46" s="1" t="s">
        <v>140</v>
      </c>
      <c r="F46" s="1">
        <v>6</v>
      </c>
      <c r="H46" s="1" t="s">
        <v>176</v>
      </c>
      <c r="J46">
        <f t="shared" si="0"/>
        <v>0</v>
      </c>
      <c r="K46" s="6" t="s">
        <v>198</v>
      </c>
    </row>
    <row r="47" spans="1:11" ht="45.5" customHeight="1" x14ac:dyDescent="0.35">
      <c r="A47" s="1" t="s">
        <v>53</v>
      </c>
      <c r="B47" s="1" t="s">
        <v>118</v>
      </c>
      <c r="D47" s="1" t="s">
        <v>138</v>
      </c>
      <c r="E47" s="1" t="s">
        <v>140</v>
      </c>
      <c r="F47" s="1">
        <v>1</v>
      </c>
      <c r="H47" s="1" t="s">
        <v>177</v>
      </c>
      <c r="J47">
        <f t="shared" si="0"/>
        <v>0</v>
      </c>
      <c r="K47" s="6" t="s">
        <v>198</v>
      </c>
    </row>
    <row r="48" spans="1:11" ht="45.5" customHeight="1" x14ac:dyDescent="0.35">
      <c r="A48" s="1" t="s">
        <v>54</v>
      </c>
      <c r="B48" s="1" t="s">
        <v>119</v>
      </c>
      <c r="D48" s="1" t="s">
        <v>138</v>
      </c>
      <c r="E48" s="1" t="s">
        <v>140</v>
      </c>
      <c r="F48" s="1">
        <v>1</v>
      </c>
      <c r="H48" s="1" t="s">
        <v>178</v>
      </c>
      <c r="J48">
        <f t="shared" si="0"/>
        <v>0</v>
      </c>
      <c r="K48" s="6" t="s">
        <v>200</v>
      </c>
    </row>
    <row r="49" spans="1:11" ht="45.5" customHeight="1" x14ac:dyDescent="0.35">
      <c r="A49" s="1" t="s">
        <v>55</v>
      </c>
      <c r="B49" s="1" t="s">
        <v>120</v>
      </c>
      <c r="D49" s="1" t="s">
        <v>138</v>
      </c>
      <c r="E49" s="1" t="s">
        <v>140</v>
      </c>
      <c r="F49" s="1">
        <v>1</v>
      </c>
      <c r="H49" s="1" t="s">
        <v>179</v>
      </c>
      <c r="J49">
        <f t="shared" si="0"/>
        <v>0</v>
      </c>
      <c r="K49" s="6" t="s">
        <v>200</v>
      </c>
    </row>
    <row r="50" spans="1:11" ht="45.5" customHeight="1" x14ac:dyDescent="0.35">
      <c r="A50" s="1" t="s">
        <v>56</v>
      </c>
      <c r="B50" s="1" t="s">
        <v>121</v>
      </c>
      <c r="D50" s="1" t="s">
        <v>138</v>
      </c>
      <c r="E50" s="1" t="s">
        <v>140</v>
      </c>
      <c r="F50" s="1">
        <v>2</v>
      </c>
      <c r="H50" s="1" t="s">
        <v>180</v>
      </c>
      <c r="J50">
        <f t="shared" si="0"/>
        <v>0</v>
      </c>
      <c r="K50" s="6" t="s">
        <v>198</v>
      </c>
    </row>
    <row r="51" spans="1:11" ht="45.5" customHeight="1" x14ac:dyDescent="0.35">
      <c r="A51" s="1" t="s">
        <v>57</v>
      </c>
      <c r="B51" s="1" t="s">
        <v>122</v>
      </c>
      <c r="D51" s="1" t="s">
        <v>138</v>
      </c>
      <c r="E51" s="1" t="s">
        <v>140</v>
      </c>
      <c r="F51" s="1">
        <v>2</v>
      </c>
      <c r="H51" s="1" t="s">
        <v>181</v>
      </c>
      <c r="J51">
        <f t="shared" si="0"/>
        <v>0</v>
      </c>
      <c r="K51" s="6" t="s">
        <v>198</v>
      </c>
    </row>
    <row r="52" spans="1:11" ht="45.5" customHeight="1" x14ac:dyDescent="0.35">
      <c r="A52" s="1" t="s">
        <v>58</v>
      </c>
      <c r="B52" s="1" t="s">
        <v>123</v>
      </c>
      <c r="D52" s="1" t="s">
        <v>139</v>
      </c>
      <c r="E52" s="1" t="s">
        <v>140</v>
      </c>
      <c r="F52" s="1">
        <v>8</v>
      </c>
      <c r="H52" s="1" t="s">
        <v>154</v>
      </c>
      <c r="J52">
        <f t="shared" si="0"/>
        <v>0</v>
      </c>
      <c r="K52" s="6" t="s">
        <v>194</v>
      </c>
    </row>
    <row r="53" spans="1:11" ht="45.5" customHeight="1" x14ac:dyDescent="0.35">
      <c r="A53" s="1" t="s">
        <v>59</v>
      </c>
      <c r="B53" s="1" t="s">
        <v>124</v>
      </c>
      <c r="D53" s="1" t="s">
        <v>138</v>
      </c>
      <c r="E53" s="1" t="s">
        <v>140</v>
      </c>
      <c r="F53" s="1">
        <v>2</v>
      </c>
      <c r="J53">
        <f t="shared" si="0"/>
        <v>0</v>
      </c>
      <c r="K53" s="6" t="s">
        <v>201</v>
      </c>
    </row>
    <row r="54" spans="1:11" ht="45.5" customHeight="1" x14ac:dyDescent="0.35">
      <c r="A54" s="1" t="s">
        <v>60</v>
      </c>
      <c r="B54" s="1" t="s">
        <v>125</v>
      </c>
      <c r="D54" s="1" t="s">
        <v>138</v>
      </c>
      <c r="E54" s="1" t="s">
        <v>140</v>
      </c>
      <c r="F54" s="1">
        <v>1</v>
      </c>
      <c r="H54" s="1" t="s">
        <v>182</v>
      </c>
      <c r="J54">
        <f t="shared" si="0"/>
        <v>0</v>
      </c>
      <c r="K54" s="6" t="s">
        <v>198</v>
      </c>
    </row>
    <row r="55" spans="1:11" ht="45.5" customHeight="1" x14ac:dyDescent="0.35">
      <c r="A55" s="1" t="s">
        <v>61</v>
      </c>
      <c r="B55" s="1" t="s">
        <v>126</v>
      </c>
      <c r="D55" s="1" t="s">
        <v>138</v>
      </c>
      <c r="E55" s="1" t="s">
        <v>140</v>
      </c>
      <c r="F55" s="1">
        <v>1</v>
      </c>
      <c r="H55" s="1" t="s">
        <v>183</v>
      </c>
      <c r="J55">
        <f t="shared" si="0"/>
        <v>0</v>
      </c>
      <c r="K55" s="6" t="s">
        <v>198</v>
      </c>
    </row>
    <row r="56" spans="1:11" ht="45.5" customHeight="1" x14ac:dyDescent="0.35">
      <c r="A56" s="1" t="s">
        <v>62</v>
      </c>
      <c r="B56" s="1" t="s">
        <v>127</v>
      </c>
      <c r="D56" s="1" t="s">
        <v>138</v>
      </c>
      <c r="E56" s="1" t="s">
        <v>140</v>
      </c>
      <c r="F56" s="1">
        <v>1</v>
      </c>
      <c r="H56" s="1" t="s">
        <v>184</v>
      </c>
      <c r="J56">
        <f t="shared" si="0"/>
        <v>0</v>
      </c>
      <c r="K56" s="6" t="s">
        <v>198</v>
      </c>
    </row>
    <row r="57" spans="1:11" ht="45.5" customHeight="1" x14ac:dyDescent="0.35">
      <c r="A57" s="1" t="s">
        <v>63</v>
      </c>
      <c r="B57" s="1" t="s">
        <v>128</v>
      </c>
      <c r="D57" s="1" t="s">
        <v>139</v>
      </c>
      <c r="E57" s="1" t="s">
        <v>140</v>
      </c>
      <c r="F57" s="1">
        <v>2</v>
      </c>
      <c r="H57" s="1" t="s">
        <v>154</v>
      </c>
      <c r="J57">
        <f t="shared" si="0"/>
        <v>0</v>
      </c>
      <c r="K57" s="6" t="s">
        <v>194</v>
      </c>
    </row>
    <row r="58" spans="1:11" ht="45.5" customHeight="1" x14ac:dyDescent="0.35">
      <c r="A58" s="1" t="s">
        <v>64</v>
      </c>
      <c r="B58" s="1" t="s">
        <v>129</v>
      </c>
      <c r="D58" s="1" t="s">
        <v>138</v>
      </c>
      <c r="E58" s="1" t="s">
        <v>140</v>
      </c>
      <c r="F58" s="1">
        <v>1</v>
      </c>
      <c r="H58" s="1" t="s">
        <v>143</v>
      </c>
      <c r="J58">
        <f t="shared" si="0"/>
        <v>0</v>
      </c>
      <c r="K58" s="6" t="s">
        <v>194</v>
      </c>
    </row>
    <row r="59" spans="1:11" ht="45.5" customHeight="1" x14ac:dyDescent="0.35">
      <c r="A59" s="1" t="s">
        <v>65</v>
      </c>
      <c r="B59" s="1" t="s">
        <v>130</v>
      </c>
      <c r="D59" s="1" t="s">
        <v>138</v>
      </c>
      <c r="E59" s="1" t="s">
        <v>140</v>
      </c>
      <c r="F59" s="1">
        <v>1</v>
      </c>
      <c r="H59" s="1" t="s">
        <v>185</v>
      </c>
      <c r="J59">
        <f t="shared" si="0"/>
        <v>0</v>
      </c>
      <c r="K59" s="6" t="s">
        <v>194</v>
      </c>
    </row>
    <row r="60" spans="1:11" ht="45.5" customHeight="1" x14ac:dyDescent="0.35">
      <c r="A60" s="1" t="s">
        <v>66</v>
      </c>
      <c r="B60" s="1" t="s">
        <v>131</v>
      </c>
      <c r="D60" s="1" t="s">
        <v>138</v>
      </c>
      <c r="E60" s="1" t="s">
        <v>140</v>
      </c>
      <c r="F60" s="1">
        <v>1</v>
      </c>
      <c r="H60" s="1" t="s">
        <v>186</v>
      </c>
      <c r="J60">
        <f t="shared" si="0"/>
        <v>0</v>
      </c>
      <c r="K60" s="6" t="s">
        <v>202</v>
      </c>
    </row>
    <row r="61" spans="1:11" ht="45.5" customHeight="1" x14ac:dyDescent="0.35">
      <c r="A61" s="1" t="s">
        <v>67</v>
      </c>
      <c r="B61" s="1" t="s">
        <v>132</v>
      </c>
      <c r="D61" s="1" t="s">
        <v>139</v>
      </c>
      <c r="E61" s="1" t="s">
        <v>140</v>
      </c>
      <c r="F61" s="1">
        <v>1</v>
      </c>
      <c r="H61" s="1" t="s">
        <v>159</v>
      </c>
      <c r="J61">
        <f t="shared" si="0"/>
        <v>0</v>
      </c>
      <c r="K61" s="6" t="s">
        <v>194</v>
      </c>
    </row>
    <row r="62" spans="1:11" ht="45.5" customHeight="1" x14ac:dyDescent="0.35">
      <c r="A62" s="1" t="s">
        <v>68</v>
      </c>
      <c r="B62" s="1" t="s">
        <v>133</v>
      </c>
      <c r="D62" s="1" t="s">
        <v>139</v>
      </c>
      <c r="E62" s="1" t="s">
        <v>140</v>
      </c>
      <c r="F62" s="1">
        <v>1</v>
      </c>
      <c r="H62" s="1" t="s">
        <v>154</v>
      </c>
      <c r="J62">
        <f t="shared" si="0"/>
        <v>0</v>
      </c>
      <c r="K62" s="6" t="s">
        <v>194</v>
      </c>
    </row>
    <row r="63" spans="1:11" ht="45.5" customHeight="1" x14ac:dyDescent="0.35">
      <c r="A63" s="1" t="s">
        <v>69</v>
      </c>
      <c r="B63" s="1" t="s">
        <v>134</v>
      </c>
      <c r="D63" s="1" t="s">
        <v>138</v>
      </c>
      <c r="E63" s="1" t="s">
        <v>140</v>
      </c>
      <c r="F63" s="1">
        <v>1</v>
      </c>
      <c r="H63" s="1" t="s">
        <v>187</v>
      </c>
      <c r="J63">
        <f t="shared" si="0"/>
        <v>0</v>
      </c>
      <c r="K63" s="6" t="s">
        <v>203</v>
      </c>
    </row>
    <row r="64" spans="1:11" ht="45.5" customHeight="1" x14ac:dyDescent="0.35">
      <c r="A64" s="1" t="s">
        <v>70</v>
      </c>
      <c r="B64" s="1" t="s">
        <v>135</v>
      </c>
      <c r="D64" s="1" t="s">
        <v>138</v>
      </c>
      <c r="E64" s="1" t="s">
        <v>140</v>
      </c>
      <c r="F64" s="1">
        <v>1</v>
      </c>
      <c r="H64" s="1" t="s">
        <v>188</v>
      </c>
      <c r="J64">
        <f t="shared" si="0"/>
        <v>0</v>
      </c>
      <c r="K64" s="6" t="s">
        <v>198</v>
      </c>
    </row>
    <row r="65" spans="1:11" ht="45.5" customHeight="1" x14ac:dyDescent="0.35">
      <c r="A65" s="1" t="s">
        <v>71</v>
      </c>
      <c r="B65" s="1" t="s">
        <v>136</v>
      </c>
      <c r="D65" s="1" t="s">
        <v>139</v>
      </c>
      <c r="E65" s="1" t="s">
        <v>140</v>
      </c>
      <c r="F65" s="1">
        <v>2</v>
      </c>
      <c r="H65" s="1" t="s">
        <v>154</v>
      </c>
      <c r="J65">
        <f t="shared" si="0"/>
        <v>0</v>
      </c>
      <c r="K65" s="6" t="s">
        <v>194</v>
      </c>
    </row>
    <row r="66" spans="1:11" ht="45.5" customHeight="1" x14ac:dyDescent="0.35">
      <c r="A66" s="1" t="s">
        <v>72</v>
      </c>
      <c r="B66" s="1" t="s">
        <v>137</v>
      </c>
      <c r="D66" s="1" t="s">
        <v>139</v>
      </c>
      <c r="E66" s="1" t="s">
        <v>140</v>
      </c>
      <c r="F66" s="1">
        <v>2</v>
      </c>
      <c r="H66" s="1" t="s">
        <v>154</v>
      </c>
      <c r="J66">
        <f t="shared" si="0"/>
        <v>0</v>
      </c>
      <c r="K66" s="6" t="s">
        <v>194</v>
      </c>
    </row>
    <row r="67" spans="1:11" ht="67.5" customHeight="1" x14ac:dyDescent="0.35">
      <c r="I67" s="3" t="s">
        <v>191</v>
      </c>
      <c r="J67">
        <f>SUM(J2:J66)</f>
        <v>7650.0640000000003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A1669-18AD-40E9-B2D7-43EDF5373F41}">
  <dimension ref="A1:I19"/>
  <sheetViews>
    <sheetView tabSelected="1" workbookViewId="0">
      <selection activeCell="D5" sqref="D5"/>
    </sheetView>
  </sheetViews>
  <sheetFormatPr defaultRowHeight="14.5" x14ac:dyDescent="0.35"/>
  <cols>
    <col min="1" max="1" width="5.26953125" customWidth="1"/>
    <col min="2" max="2" width="25.90625" customWidth="1"/>
    <col min="3" max="3" width="6.36328125" customWidth="1"/>
    <col min="4" max="4" width="17.1796875" style="7" customWidth="1"/>
    <col min="5" max="5" width="28.6328125" customWidth="1"/>
    <col min="6" max="6" width="43.90625" customWidth="1"/>
    <col min="8" max="8" width="20.26953125" customWidth="1"/>
  </cols>
  <sheetData>
    <row r="1" spans="1:9" x14ac:dyDescent="0.35">
      <c r="A1" t="s">
        <v>204</v>
      </c>
      <c r="B1" t="s">
        <v>205</v>
      </c>
      <c r="C1" t="s">
        <v>5</v>
      </c>
      <c r="D1" t="s">
        <v>206</v>
      </c>
      <c r="E1" t="s">
        <v>207</v>
      </c>
      <c r="F1" t="s">
        <v>208</v>
      </c>
      <c r="G1" s="3" t="s">
        <v>210</v>
      </c>
    </row>
    <row r="2" spans="1:9" x14ac:dyDescent="0.35">
      <c r="A2">
        <v>1</v>
      </c>
      <c r="B2" t="s">
        <v>209</v>
      </c>
      <c r="C2">
        <v>8</v>
      </c>
      <c r="D2" s="7">
        <v>72.790000000000006</v>
      </c>
      <c r="E2" s="3" t="s">
        <v>220</v>
      </c>
      <c r="F2" s="3" t="s">
        <v>221</v>
      </c>
      <c r="G2">
        <v>1</v>
      </c>
    </row>
    <row r="3" spans="1:9" x14ac:dyDescent="0.35">
      <c r="A3">
        <v>2</v>
      </c>
      <c r="B3" s="3" t="s">
        <v>211</v>
      </c>
      <c r="C3">
        <v>3</v>
      </c>
      <c r="D3" s="8" t="s">
        <v>222</v>
      </c>
      <c r="E3" s="3" t="s">
        <v>220</v>
      </c>
      <c r="F3" s="3" t="s">
        <v>221</v>
      </c>
      <c r="G3">
        <v>2</v>
      </c>
    </row>
    <row r="4" spans="1:9" x14ac:dyDescent="0.35">
      <c r="A4">
        <v>3</v>
      </c>
      <c r="B4" s="3" t="s">
        <v>212</v>
      </c>
      <c r="C4">
        <v>3</v>
      </c>
      <c r="D4" s="8" t="s">
        <v>222</v>
      </c>
      <c r="E4" s="3" t="s">
        <v>220</v>
      </c>
      <c r="F4" s="3" t="s">
        <v>221</v>
      </c>
      <c r="G4">
        <v>2</v>
      </c>
      <c r="H4" s="10" t="s">
        <v>219</v>
      </c>
      <c r="I4" s="7">
        <v>109.87</v>
      </c>
    </row>
    <row r="5" spans="1:9" x14ac:dyDescent="0.35">
      <c r="A5">
        <v>4</v>
      </c>
      <c r="B5" s="3" t="s">
        <v>213</v>
      </c>
      <c r="C5">
        <v>1</v>
      </c>
      <c r="D5" s="7">
        <v>44.77</v>
      </c>
      <c r="E5" s="3" t="s">
        <v>217</v>
      </c>
      <c r="F5" s="3" t="s">
        <v>218</v>
      </c>
      <c r="G5">
        <v>1</v>
      </c>
    </row>
    <row r="6" spans="1:9" x14ac:dyDescent="0.35">
      <c r="A6">
        <v>5</v>
      </c>
      <c r="B6" s="3" t="s">
        <v>214</v>
      </c>
      <c r="C6">
        <v>1</v>
      </c>
      <c r="D6" s="7">
        <v>29.52</v>
      </c>
      <c r="E6" s="3" t="s">
        <v>217</v>
      </c>
      <c r="F6" s="3" t="s">
        <v>218</v>
      </c>
      <c r="G6">
        <v>1</v>
      </c>
    </row>
    <row r="7" spans="1:9" x14ac:dyDescent="0.35">
      <c r="A7">
        <v>6</v>
      </c>
      <c r="B7" s="3" t="s">
        <v>215</v>
      </c>
      <c r="C7">
        <v>2</v>
      </c>
      <c r="D7" s="7">
        <v>11.96</v>
      </c>
      <c r="E7" s="3" t="s">
        <v>217</v>
      </c>
      <c r="F7" s="3" t="s">
        <v>218</v>
      </c>
      <c r="G7">
        <v>1</v>
      </c>
    </row>
    <row r="8" spans="1:9" x14ac:dyDescent="0.35">
      <c r="A8">
        <v>7</v>
      </c>
      <c r="B8" s="3" t="s">
        <v>216</v>
      </c>
      <c r="C8">
        <v>1</v>
      </c>
      <c r="D8" s="7">
        <v>38.33</v>
      </c>
      <c r="E8" s="3" t="s">
        <v>217</v>
      </c>
      <c r="F8" s="3" t="s">
        <v>218</v>
      </c>
      <c r="G8">
        <v>1</v>
      </c>
      <c r="H8" s="10" t="s">
        <v>219</v>
      </c>
      <c r="I8" s="7">
        <f>SUM(D5:D8)</f>
        <v>124.58</v>
      </c>
    </row>
    <row r="9" spans="1:9" x14ac:dyDescent="0.35">
      <c r="A9">
        <v>8</v>
      </c>
      <c r="B9" s="3" t="s">
        <v>223</v>
      </c>
      <c r="C9">
        <v>4</v>
      </c>
      <c r="D9" s="8">
        <v>78.56</v>
      </c>
      <c r="F9" s="9" t="s">
        <v>224</v>
      </c>
      <c r="G9">
        <v>1</v>
      </c>
    </row>
    <row r="10" spans="1:9" x14ac:dyDescent="0.35">
      <c r="A10">
        <v>9</v>
      </c>
      <c r="B10" s="3" t="s">
        <v>225</v>
      </c>
      <c r="C10">
        <v>2</v>
      </c>
      <c r="D10" s="8">
        <v>67.89</v>
      </c>
      <c r="E10" s="3" t="s">
        <v>228</v>
      </c>
      <c r="F10" t="s">
        <v>227</v>
      </c>
      <c r="G10">
        <v>1</v>
      </c>
    </row>
    <row r="11" spans="1:9" x14ac:dyDescent="0.35">
      <c r="A11">
        <v>10</v>
      </c>
      <c r="B11" s="3" t="s">
        <v>226</v>
      </c>
      <c r="C11">
        <v>2</v>
      </c>
      <c r="D11" s="8">
        <v>18.600000000000001</v>
      </c>
      <c r="E11" s="3" t="s">
        <v>228</v>
      </c>
      <c r="F11" t="s">
        <v>227</v>
      </c>
      <c r="G11">
        <v>1</v>
      </c>
    </row>
    <row r="12" spans="1:9" x14ac:dyDescent="0.35">
      <c r="A12">
        <v>11</v>
      </c>
      <c r="B12" s="3" t="s">
        <v>185</v>
      </c>
      <c r="C12">
        <v>1</v>
      </c>
      <c r="D12" s="8">
        <v>22.99</v>
      </c>
      <c r="E12" s="3"/>
      <c r="F12" s="9" t="s">
        <v>224</v>
      </c>
      <c r="G12">
        <v>1</v>
      </c>
    </row>
    <row r="13" spans="1:9" x14ac:dyDescent="0.35">
      <c r="A13">
        <v>12</v>
      </c>
      <c r="E13" s="3"/>
    </row>
    <row r="14" spans="1:9" x14ac:dyDescent="0.35">
      <c r="A14">
        <v>13</v>
      </c>
      <c r="E14" s="3"/>
    </row>
    <row r="15" spans="1:9" x14ac:dyDescent="0.35">
      <c r="A15">
        <v>14</v>
      </c>
      <c r="C15" s="10" t="s">
        <v>229</v>
      </c>
      <c r="D15" s="7">
        <f>SUM(D2:D12)</f>
        <v>385.41</v>
      </c>
      <c r="E15" s="3"/>
    </row>
    <row r="16" spans="1:9" x14ac:dyDescent="0.35">
      <c r="A16">
        <v>15</v>
      </c>
      <c r="E16" s="3"/>
    </row>
    <row r="17" spans="1:5" x14ac:dyDescent="0.35">
      <c r="A17">
        <v>16</v>
      </c>
      <c r="E17" s="3"/>
    </row>
    <row r="18" spans="1:5" x14ac:dyDescent="0.35">
      <c r="A18">
        <v>17</v>
      </c>
      <c r="E18" s="3"/>
    </row>
    <row r="19" spans="1:5" x14ac:dyDescent="0.35">
      <c r="A19">
        <v>18</v>
      </c>
      <c r="E19" s="3"/>
    </row>
  </sheetData>
  <hyperlinks>
    <hyperlink ref="F9" r:id="rId1" xr:uid="{6BB673A0-D5B9-43BD-8EE0-E9BFBE6F2CF5}"/>
    <hyperlink ref="F12" r:id="rId2" xr:uid="{0E085989-D197-4AE4-B7FE-119AE89FA0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Scharonow</cp:lastModifiedBy>
  <dcterms:modified xsi:type="dcterms:W3CDTF">2026-01-04T21:49:37Z</dcterms:modified>
</cp:coreProperties>
</file>